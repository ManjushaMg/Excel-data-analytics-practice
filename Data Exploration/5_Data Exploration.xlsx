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JU\Internshala\entry\"/>
    </mc:Choice>
  </mc:AlternateContent>
  <xr:revisionPtr revIDLastSave="0" documentId="8_{20BD63B7-EAC3-4C65-A69E-DD51763A712F}" xr6:coauthVersionLast="47" xr6:coauthVersionMax="47" xr10:uidLastSave="{00000000-0000-0000-0000-000000000000}"/>
  <bookViews>
    <workbookView xWindow="-110" yWindow="-110" windowWidth="19420" windowHeight="10300" activeTab="3" xr2:uid="{6FD63C53-CCAE-43DC-A070-F3A5FC4A2F2D}"/>
  </bookViews>
  <sheets>
    <sheet name="Basic_sorting" sheetId="1" r:id="rId1"/>
    <sheet name="Advance_sorting" sheetId="2" r:id="rId2"/>
    <sheet name="Filtering" sheetId="4" r:id="rId3"/>
    <sheet name="Summary_Statistics" sheetId="6" r:id="rId4"/>
    <sheet name="Conditional_Formatting" sheetId="7" r:id="rId5"/>
  </sheets>
  <definedNames>
    <definedName name="_xlnm._FilterDatabase" localSheetId="1" hidden="1">Advance_sorting!$C$2:$H$8</definedName>
    <definedName name="_xlnm._FilterDatabase" localSheetId="2" hidden="1">Filtering!$A$1:$M$16</definedName>
    <definedName name="_xlnm.Criteria" localSheetId="2">Filtering!$O$3:$O$10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7" l="1"/>
  <c r="P5" i="7"/>
  <c r="P6" i="7"/>
  <c r="P7" i="7"/>
  <c r="P8" i="7"/>
  <c r="P9" i="7"/>
  <c r="P10" i="7"/>
  <c r="P4" i="7"/>
  <c r="O5" i="7"/>
  <c r="O6" i="7"/>
  <c r="O7" i="7"/>
  <c r="O8" i="7"/>
  <c r="O9" i="7"/>
  <c r="O10" i="7"/>
  <c r="F4" i="7"/>
  <c r="F5" i="7"/>
  <c r="F6" i="7"/>
  <c r="F7" i="7"/>
  <c r="F8" i="7"/>
  <c r="F9" i="7"/>
  <c r="F10" i="7"/>
  <c r="F11" i="7"/>
  <c r="F12" i="7"/>
  <c r="F13" i="7"/>
  <c r="O7" i="4" l="1"/>
  <c r="O6" i="4"/>
  <c r="O4" i="4"/>
  <c r="O5" i="4"/>
  <c r="H3" i="2"/>
  <c r="H5" i="2"/>
  <c r="H7" i="2"/>
  <c r="H12" i="2"/>
  <c r="H10" i="2"/>
  <c r="H6" i="2"/>
  <c r="H8" i="2"/>
  <c r="H4" i="2"/>
  <c r="H9" i="2"/>
  <c r="H11" i="2"/>
  <c r="H11" i="1"/>
  <c r="H10" i="1"/>
  <c r="H9" i="1"/>
  <c r="H7" i="1"/>
  <c r="H8" i="1"/>
  <c r="H6" i="1"/>
  <c r="H5" i="1"/>
  <c r="H4" i="1"/>
  <c r="H3" i="1"/>
</calcChain>
</file>

<file path=xl/sharedStrings.xml><?xml version="1.0" encoding="utf-8"?>
<sst xmlns="http://schemas.openxmlformats.org/spreadsheetml/2006/main" count="183" uniqueCount="118">
  <si>
    <t>Product ID</t>
  </si>
  <si>
    <t>Delivery Date</t>
  </si>
  <si>
    <t>Product</t>
  </si>
  <si>
    <t>Quantity</t>
  </si>
  <si>
    <t xml:space="preserve">Rate </t>
  </si>
  <si>
    <t>Amount</t>
  </si>
  <si>
    <t>Bengal Gram</t>
  </si>
  <si>
    <t>Green Gram</t>
  </si>
  <si>
    <t>oil</t>
  </si>
  <si>
    <t>Rice</t>
  </si>
  <si>
    <t>Salt</t>
  </si>
  <si>
    <t>Soap</t>
  </si>
  <si>
    <t>Tooth paste</t>
  </si>
  <si>
    <t>Company</t>
  </si>
  <si>
    <t>Month</t>
  </si>
  <si>
    <t>Year</t>
  </si>
  <si>
    <t>Rate</t>
  </si>
  <si>
    <t>CEAT</t>
  </si>
  <si>
    <t>March</t>
  </si>
  <si>
    <t>APOLLO</t>
  </si>
  <si>
    <t>MRF</t>
  </si>
  <si>
    <t>January</t>
  </si>
  <si>
    <t>TVS</t>
  </si>
  <si>
    <t>February</t>
  </si>
  <si>
    <t>Student Name</t>
  </si>
  <si>
    <t>Roll Number</t>
  </si>
  <si>
    <t>English</t>
  </si>
  <si>
    <t>Maths</t>
  </si>
  <si>
    <t>Science</t>
  </si>
  <si>
    <t>Social</t>
  </si>
  <si>
    <t>Total</t>
  </si>
  <si>
    <t>Average</t>
  </si>
  <si>
    <t>Result</t>
  </si>
  <si>
    <t>Rank</t>
  </si>
  <si>
    <t>Grade</t>
  </si>
  <si>
    <t>Mark Issue Date</t>
  </si>
  <si>
    <t>Ramesh</t>
  </si>
  <si>
    <t>Pass</t>
  </si>
  <si>
    <t>A+</t>
  </si>
  <si>
    <t>Ganesh</t>
  </si>
  <si>
    <t>Lokesh</t>
  </si>
  <si>
    <t>Rajesh</t>
  </si>
  <si>
    <t>Lilly</t>
  </si>
  <si>
    <t>A</t>
  </si>
  <si>
    <t>Oliver</t>
  </si>
  <si>
    <t>Connor</t>
  </si>
  <si>
    <t>Haythem</t>
  </si>
  <si>
    <t>Edward</t>
  </si>
  <si>
    <t>Gopal</t>
  </si>
  <si>
    <t>Ram</t>
  </si>
  <si>
    <t>Jason</t>
  </si>
  <si>
    <t>Benjamin</t>
  </si>
  <si>
    <t>Rakesh</t>
  </si>
  <si>
    <t>John</t>
  </si>
  <si>
    <t>Fail</t>
  </si>
  <si>
    <t>No Grade</t>
  </si>
  <si>
    <t>No Rank</t>
  </si>
  <si>
    <t xml:space="preserve">Person </t>
  </si>
  <si>
    <t>Units</t>
  </si>
  <si>
    <t>Aneesh</t>
  </si>
  <si>
    <t>Amal</t>
  </si>
  <si>
    <t>Anil</t>
  </si>
  <si>
    <t>Smitha</t>
  </si>
  <si>
    <t>Ramu</t>
  </si>
  <si>
    <t>Rajeesh</t>
  </si>
  <si>
    <t>Arun</t>
  </si>
  <si>
    <t>Akshay</t>
  </si>
  <si>
    <t>Rakhee</t>
  </si>
  <si>
    <t>Course</t>
  </si>
  <si>
    <t>Fee</t>
  </si>
  <si>
    <t>Paid</t>
  </si>
  <si>
    <t>Balance</t>
  </si>
  <si>
    <t>Alice</t>
  </si>
  <si>
    <t>Python</t>
  </si>
  <si>
    <t>Bob</t>
  </si>
  <si>
    <t>Excel</t>
  </si>
  <si>
    <t>Charlie</t>
  </si>
  <si>
    <t>Data Science</t>
  </si>
  <si>
    <t>David</t>
  </si>
  <si>
    <t>SQL</t>
  </si>
  <si>
    <t>Eve</t>
  </si>
  <si>
    <t>Power BI</t>
  </si>
  <si>
    <t>Frank</t>
  </si>
  <si>
    <t>Tableau</t>
  </si>
  <si>
    <t>Grace</t>
  </si>
  <si>
    <t>HTML &amp; CSS</t>
  </si>
  <si>
    <t>Hannah</t>
  </si>
  <si>
    <t>Ian</t>
  </si>
  <si>
    <t>Jenny</t>
  </si>
  <si>
    <t>Karen</t>
  </si>
  <si>
    <t>Liam</t>
  </si>
  <si>
    <t>Maria</t>
  </si>
  <si>
    <t>Nathan</t>
  </si>
  <si>
    <t>Olivia</t>
  </si>
  <si>
    <t>Peter</t>
  </si>
  <si>
    <t>Quentin</t>
  </si>
  <si>
    <t>Rachel</t>
  </si>
  <si>
    <t>Sam</t>
  </si>
  <si>
    <t>Tina</t>
  </si>
  <si>
    <t>$D4 &gt; 100000</t>
  </si>
  <si>
    <t>$D4 &gt; $H$5</t>
  </si>
  <si>
    <t>Top 3 Performers</t>
  </si>
  <si>
    <t>RANK.AVG($D4,$D$4:$D$13,0) &lt; 3</t>
  </si>
  <si>
    <t>Malayalam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</si>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</sst>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5" fontId="0" fillId="0" borderId="0" xfId="0" applyNumberFormat="1"/>
    <xf numFmtId="0" fontId="4" fillId="0" borderId="0" xfId="0" applyFont="1"/>
    <xf numFmtId="0" fontId="2" fillId="0" borderId="0" xfId="0" applyFont="1"/>
    <xf numFmtId="0" fontId="5" fillId="0" borderId="0" xfId="0" applyFont="1"/>
    <xf numFmtId="164" fontId="0" fillId="0" borderId="0" xfId="0" applyNumberFormat="1"/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4" borderId="0" xfId="0" applyFont="1" applyFill="1"/>
    <xf numFmtId="0" fontId="0" fillId="5" borderId="1" xfId="0" applyFill="1" applyBorder="1"/>
    <xf numFmtId="164" fontId="2" fillId="4" borderId="0" xfId="0" applyNumberFormat="1" applyFont="1" applyFill="1"/>
    <xf numFmtId="2" fontId="0" fillId="0" borderId="0" xfId="0" applyNumberFormat="1"/>
    <xf numFmtId="0" fontId="2" fillId="5" borderId="0" xfId="0" applyFont="1" applyFill="1"/>
    <xf numFmtId="0" fontId="0" fillId="0" borderId="2" xfId="0" applyBorder="1"/>
    <xf numFmtId="0" fontId="7" fillId="0" borderId="0" xfId="0" applyFont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7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9D40-C8C2-4B27-AA3E-81E4800EAD7F}">
  <dimension ref="B2:H11"/>
  <sheetViews>
    <sheetView zoomScale="130" zoomScaleNormal="130" workbookViewId="0">
      <selection activeCell="B11" sqref="B11"/>
    </sheetView>
  </sheetViews>
  <sheetFormatPr defaultRowHeight="14.5" x14ac:dyDescent="0.35"/>
  <cols>
    <col min="3" max="3" width="9.7265625" bestFit="1" customWidth="1"/>
    <col min="4" max="4" width="11.90625" bestFit="1" customWidth="1"/>
    <col min="5" max="5" width="11.453125" bestFit="1" customWidth="1"/>
    <col min="7" max="7" width="10.36328125" customWidth="1"/>
    <col min="8" max="8" width="14.1796875" customWidth="1"/>
  </cols>
  <sheetData>
    <row r="2" spans="2:8" x14ac:dyDescent="0.3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35">
      <c r="B3">
        <v>9</v>
      </c>
      <c r="C3" s="2">
        <v>23453</v>
      </c>
      <c r="D3" s="3">
        <v>45343</v>
      </c>
      <c r="E3" s="2" t="s">
        <v>12</v>
      </c>
      <c r="F3" s="2">
        <v>1000</v>
      </c>
      <c r="G3" s="4">
        <v>250</v>
      </c>
      <c r="H3" s="4">
        <f t="shared" ref="H3:H11" si="0">F3*G3</f>
        <v>250000</v>
      </c>
    </row>
    <row r="4" spans="2:8" x14ac:dyDescent="0.35">
      <c r="B4">
        <v>8</v>
      </c>
      <c r="C4" s="2">
        <v>23456</v>
      </c>
      <c r="D4" s="3">
        <v>45384</v>
      </c>
      <c r="E4" s="2" t="s">
        <v>10</v>
      </c>
      <c r="F4" s="2">
        <v>200</v>
      </c>
      <c r="G4" s="4">
        <v>200</v>
      </c>
      <c r="H4" s="4">
        <f t="shared" si="0"/>
        <v>40000</v>
      </c>
    </row>
    <row r="5" spans="2:8" x14ac:dyDescent="0.35">
      <c r="B5">
        <v>7</v>
      </c>
      <c r="C5" s="2">
        <v>43251</v>
      </c>
      <c r="D5" s="3">
        <v>45433</v>
      </c>
      <c r="E5" s="2" t="s">
        <v>9</v>
      </c>
      <c r="F5" s="2">
        <v>200</v>
      </c>
      <c r="G5" s="4">
        <v>120</v>
      </c>
      <c r="H5" s="4">
        <f t="shared" si="0"/>
        <v>24000</v>
      </c>
    </row>
    <row r="6" spans="2:8" x14ac:dyDescent="0.35">
      <c r="B6">
        <v>6</v>
      </c>
      <c r="C6" s="2">
        <v>45674</v>
      </c>
      <c r="D6" s="3">
        <v>45449</v>
      </c>
      <c r="E6" s="2" t="s">
        <v>11</v>
      </c>
      <c r="F6" s="2">
        <v>1000</v>
      </c>
      <c r="G6" s="4">
        <v>300</v>
      </c>
      <c r="H6" s="4">
        <f t="shared" si="0"/>
        <v>300000</v>
      </c>
    </row>
    <row r="7" spans="2:8" x14ac:dyDescent="0.35">
      <c r="B7">
        <v>5</v>
      </c>
      <c r="C7" s="2">
        <v>56399</v>
      </c>
      <c r="D7" s="3">
        <v>45509</v>
      </c>
      <c r="E7" s="2" t="s">
        <v>6</v>
      </c>
      <c r="F7" s="2">
        <v>5</v>
      </c>
      <c r="G7" s="4">
        <v>70</v>
      </c>
      <c r="H7" s="4">
        <f t="shared" si="0"/>
        <v>350</v>
      </c>
    </row>
    <row r="8" spans="2:8" x14ac:dyDescent="0.35">
      <c r="B8">
        <v>4</v>
      </c>
      <c r="C8" s="2">
        <v>56478</v>
      </c>
      <c r="D8" s="3">
        <v>45518</v>
      </c>
      <c r="E8" s="2" t="s">
        <v>9</v>
      </c>
      <c r="F8" s="2">
        <v>130</v>
      </c>
      <c r="G8" s="4">
        <v>90</v>
      </c>
      <c r="H8" s="4">
        <f t="shared" si="0"/>
        <v>11700</v>
      </c>
    </row>
    <row r="9" spans="2:8" x14ac:dyDescent="0.35">
      <c r="B9">
        <v>3</v>
      </c>
      <c r="C9" s="2">
        <v>65002</v>
      </c>
      <c r="D9" s="3">
        <v>45547</v>
      </c>
      <c r="E9" s="2" t="s">
        <v>7</v>
      </c>
      <c r="F9" s="2">
        <v>45</v>
      </c>
      <c r="G9" s="4">
        <v>50</v>
      </c>
      <c r="H9" s="4">
        <f t="shared" si="0"/>
        <v>2250</v>
      </c>
    </row>
    <row r="10" spans="2:8" x14ac:dyDescent="0.35">
      <c r="B10">
        <v>2</v>
      </c>
      <c r="C10" s="2">
        <v>78987</v>
      </c>
      <c r="D10" s="3">
        <v>45636</v>
      </c>
      <c r="E10" s="2" t="s">
        <v>8</v>
      </c>
      <c r="F10" s="2">
        <v>120</v>
      </c>
      <c r="G10" s="4">
        <v>75</v>
      </c>
      <c r="H10" s="4">
        <f t="shared" si="0"/>
        <v>9000</v>
      </c>
    </row>
    <row r="11" spans="2:8" x14ac:dyDescent="0.35">
      <c r="B11">
        <v>1</v>
      </c>
      <c r="C11" s="2">
        <v>98976</v>
      </c>
      <c r="D11" s="3">
        <v>45662</v>
      </c>
      <c r="E11" s="2" t="s">
        <v>7</v>
      </c>
      <c r="F11" s="2">
        <v>24</v>
      </c>
      <c r="G11" s="4">
        <v>76</v>
      </c>
      <c r="H11" s="4">
        <f t="shared" si="0"/>
        <v>1824</v>
      </c>
    </row>
  </sheetData>
  <scenarios current="0" sqref="O5">
    <scenario name="A" locked="1" count="3" user="DELL" comment="Created by DELL on 08-12-2025">
      <inputCells r="L5" val="12"/>
      <inputCells r="M5" val="13"/>
      <inputCells r="N5" val="14"/>
    </scenario>
    <scenario name="B" locked="1" count="3" user="DELL" comment="Created by DELL on 08-12-2025">
      <inputCells r="L5" val="66"/>
      <inputCells r="M5" val="13"/>
      <inputCells r="N5" val="14"/>
    </scenario>
    <scenario name="C" locked="1" count="3" user="DELL" comment="Created by DELL on 08-12-2025">
      <inputCells r="L5" val="12"/>
      <inputCells r="M5" val="67"/>
      <inputCells r="N5" val="14"/>
    </scenario>
  </scenarios>
  <sortState xmlns:xlrd2="http://schemas.microsoft.com/office/spreadsheetml/2017/richdata2" ref="B3:H11">
    <sortCondition ref="C4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7C3F-7120-4833-A459-24360CB7873B}">
  <dimension ref="C2:N12"/>
  <sheetViews>
    <sheetView zoomScale="130" zoomScaleNormal="130" workbookViewId="0">
      <selection activeCell="C13" sqref="C13"/>
    </sheetView>
  </sheetViews>
  <sheetFormatPr defaultRowHeight="14.5" x14ac:dyDescent="0.35"/>
  <cols>
    <col min="6" max="6" width="8" bestFit="1" customWidth="1"/>
    <col min="7" max="7" width="13" customWidth="1"/>
    <col min="8" max="8" width="14.6328125" customWidth="1"/>
    <col min="11" max="11" width="12.7265625" customWidth="1"/>
  </cols>
  <sheetData>
    <row r="2" spans="3:14" x14ac:dyDescent="0.35">
      <c r="C2" s="5" t="s">
        <v>13</v>
      </c>
      <c r="D2" s="5" t="s">
        <v>14</v>
      </c>
      <c r="E2" s="5" t="s">
        <v>15</v>
      </c>
      <c r="F2" s="5" t="s">
        <v>3</v>
      </c>
      <c r="G2" s="5" t="s">
        <v>16</v>
      </c>
      <c r="H2" s="5" t="s">
        <v>5</v>
      </c>
    </row>
    <row r="3" spans="3:14" x14ac:dyDescent="0.35">
      <c r="C3" s="2" t="s">
        <v>19</v>
      </c>
      <c r="D3" s="2" t="s">
        <v>23</v>
      </c>
      <c r="E3" s="2">
        <v>2019</v>
      </c>
      <c r="F3" s="2">
        <v>120</v>
      </c>
      <c r="G3" s="6">
        <v>1000</v>
      </c>
      <c r="H3" s="6">
        <f>F3*G3</f>
        <v>120000</v>
      </c>
      <c r="K3" s="19"/>
      <c r="L3" s="19"/>
    </row>
    <row r="4" spans="3:14" x14ac:dyDescent="0.35">
      <c r="C4" s="2" t="s">
        <v>17</v>
      </c>
      <c r="D4" s="2" t="s">
        <v>18</v>
      </c>
      <c r="E4" s="2">
        <v>2020</v>
      </c>
      <c r="F4" s="2">
        <v>22</v>
      </c>
      <c r="G4" s="6">
        <v>4500</v>
      </c>
      <c r="H4" s="6">
        <f t="shared" ref="H4:H6" si="0">F4*G4</f>
        <v>99000</v>
      </c>
    </row>
    <row r="5" spans="3:14" x14ac:dyDescent="0.35">
      <c r="C5" s="2" t="s">
        <v>22</v>
      </c>
      <c r="D5" s="2" t="s">
        <v>21</v>
      </c>
      <c r="E5" s="2">
        <v>2020</v>
      </c>
      <c r="F5" s="2">
        <v>67</v>
      </c>
      <c r="G5" s="6">
        <v>8000</v>
      </c>
      <c r="H5" s="6">
        <f>F5*G5</f>
        <v>536000</v>
      </c>
    </row>
    <row r="6" spans="3:14" x14ac:dyDescent="0.35">
      <c r="C6" s="2" t="s">
        <v>20</v>
      </c>
      <c r="D6" s="2" t="s">
        <v>21</v>
      </c>
      <c r="E6" s="2">
        <v>2020</v>
      </c>
      <c r="F6" s="2">
        <v>30</v>
      </c>
      <c r="G6" s="6">
        <v>5000</v>
      </c>
      <c r="H6" s="6">
        <f t="shared" si="0"/>
        <v>150000</v>
      </c>
      <c r="L6" s="9"/>
      <c r="M6" s="9"/>
      <c r="N6" s="9"/>
    </row>
    <row r="7" spans="3:14" x14ac:dyDescent="0.35">
      <c r="C7" s="2" t="s">
        <v>22</v>
      </c>
      <c r="D7" s="2" t="s">
        <v>21</v>
      </c>
      <c r="E7" s="2">
        <v>2020</v>
      </c>
      <c r="F7" s="2">
        <v>140</v>
      </c>
      <c r="G7" s="6">
        <v>6000</v>
      </c>
      <c r="H7" s="6">
        <f t="shared" ref="H7:H12" si="1">F7*G7</f>
        <v>840000</v>
      </c>
    </row>
    <row r="8" spans="3:14" x14ac:dyDescent="0.35">
      <c r="C8" s="2" t="s">
        <v>20</v>
      </c>
      <c r="D8" s="2" t="s">
        <v>21</v>
      </c>
      <c r="E8" s="2">
        <v>2020</v>
      </c>
      <c r="F8" s="2">
        <v>120</v>
      </c>
      <c r="G8" s="6">
        <v>10000</v>
      </c>
      <c r="H8" s="6">
        <f t="shared" si="1"/>
        <v>1200000</v>
      </c>
    </row>
    <row r="9" spans="3:14" x14ac:dyDescent="0.35">
      <c r="C9" s="2" t="s">
        <v>22</v>
      </c>
      <c r="D9" s="2" t="s">
        <v>18</v>
      </c>
      <c r="E9" s="2">
        <v>2020</v>
      </c>
      <c r="F9" s="2">
        <v>20</v>
      </c>
      <c r="G9" s="6">
        <v>3200</v>
      </c>
      <c r="H9" s="6">
        <f t="shared" si="1"/>
        <v>64000</v>
      </c>
    </row>
    <row r="10" spans="3:14" x14ac:dyDescent="0.35">
      <c r="C10" s="2" t="s">
        <v>19</v>
      </c>
      <c r="D10" s="2" t="s">
        <v>21</v>
      </c>
      <c r="E10" s="2">
        <v>2020</v>
      </c>
      <c r="F10" s="2">
        <v>90</v>
      </c>
      <c r="G10" s="6">
        <v>12000</v>
      </c>
      <c r="H10" s="6">
        <f t="shared" si="1"/>
        <v>1080000</v>
      </c>
    </row>
    <row r="11" spans="3:14" x14ac:dyDescent="0.35">
      <c r="C11" s="2" t="s">
        <v>17</v>
      </c>
      <c r="D11" s="2" t="s">
        <v>18</v>
      </c>
      <c r="E11" s="2">
        <v>2020</v>
      </c>
      <c r="F11" s="2">
        <v>50</v>
      </c>
      <c r="G11" s="6">
        <v>5600</v>
      </c>
      <c r="H11" s="6">
        <f t="shared" si="1"/>
        <v>280000</v>
      </c>
    </row>
    <row r="12" spans="3:14" x14ac:dyDescent="0.35">
      <c r="C12" s="2" t="s">
        <v>20</v>
      </c>
      <c r="D12" s="2" t="s">
        <v>18</v>
      </c>
      <c r="E12" s="2">
        <v>2019</v>
      </c>
      <c r="F12" s="2">
        <v>45</v>
      </c>
      <c r="G12" s="6">
        <v>5700</v>
      </c>
      <c r="H12" s="6">
        <f t="shared" si="1"/>
        <v>256500</v>
      </c>
    </row>
  </sheetData>
  <sortState xmlns:xlrd2="http://schemas.microsoft.com/office/spreadsheetml/2017/richdata2" ref="C3:H12">
    <sortCondition ref="C3:C12" customList="CEAT,MRF,TVS,APOLLO"/>
    <sortCondition ref="D3:D12"/>
    <sortCondition sortBy="cellColor" ref="F3:F12" dxfId="10"/>
    <sortCondition sortBy="cellColor" ref="F3:F12" dxfId="9"/>
    <sortCondition descending="1" sortBy="cellColor" ref="F3:F12" dxfId="8"/>
  </sortState>
  <conditionalFormatting sqref="F3:F12">
    <cfRule type="cellIs" dxfId="7" priority="1" operator="between">
      <formula>70</formula>
      <formula>150</formula>
    </cfRule>
    <cfRule type="cellIs" dxfId="6" priority="2" operator="between">
      <formula>40</formula>
      <formula>70</formula>
    </cfRule>
    <cfRule type="cellIs" dxfId="5" priority="3" operator="between">
      <formula>20</formula>
      <formula>40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4415-9A82-42C6-9BEC-C786C92BFB7B}">
  <dimension ref="A1:O19"/>
  <sheetViews>
    <sheetView topLeftCell="B1" zoomScale="130" zoomScaleNormal="130" workbookViewId="0">
      <selection activeCell="E12" sqref="E12"/>
    </sheetView>
  </sheetViews>
  <sheetFormatPr defaultRowHeight="14.5" x14ac:dyDescent="0.35"/>
  <cols>
    <col min="2" max="2" width="12.90625" bestFit="1" customWidth="1"/>
    <col min="13" max="13" width="14.36328125" bestFit="1" customWidth="1"/>
  </cols>
  <sheetData>
    <row r="1" spans="1:15" x14ac:dyDescent="0.35">
      <c r="A1" s="9" t="s">
        <v>25</v>
      </c>
      <c r="B1" s="9" t="s">
        <v>24</v>
      </c>
      <c r="C1" s="8" t="s">
        <v>103</v>
      </c>
      <c r="D1" s="8" t="s">
        <v>26</v>
      </c>
      <c r="E1" s="8" t="s">
        <v>27</v>
      </c>
      <c r="F1" s="8" t="s">
        <v>28</v>
      </c>
      <c r="G1" s="8" t="s">
        <v>29</v>
      </c>
      <c r="H1" s="10" t="s">
        <v>30</v>
      </c>
      <c r="I1" s="10" t="s">
        <v>31</v>
      </c>
      <c r="J1" s="10" t="s">
        <v>32</v>
      </c>
      <c r="K1" s="10" t="s">
        <v>33</v>
      </c>
      <c r="L1" s="10" t="s">
        <v>34</v>
      </c>
      <c r="M1" s="9" t="s">
        <v>35</v>
      </c>
    </row>
    <row r="2" spans="1:15" x14ac:dyDescent="0.35">
      <c r="A2">
        <v>100301</v>
      </c>
      <c r="B2" t="s">
        <v>36</v>
      </c>
      <c r="C2">
        <v>89</v>
      </c>
      <c r="D2">
        <v>85</v>
      </c>
      <c r="E2">
        <v>95</v>
      </c>
      <c r="F2">
        <v>97</v>
      </c>
      <c r="G2">
        <v>85</v>
      </c>
      <c r="H2">
        <v>451</v>
      </c>
      <c r="I2">
        <v>90.2</v>
      </c>
      <c r="J2" t="s">
        <v>37</v>
      </c>
      <c r="K2">
        <v>4</v>
      </c>
      <c r="L2" t="s">
        <v>38</v>
      </c>
      <c r="M2" s="7">
        <v>45879</v>
      </c>
    </row>
    <row r="3" spans="1:15" x14ac:dyDescent="0.35">
      <c r="A3">
        <v>100302</v>
      </c>
      <c r="B3" t="s">
        <v>39</v>
      </c>
      <c r="C3">
        <v>95</v>
      </c>
      <c r="D3">
        <v>54</v>
      </c>
      <c r="E3">
        <v>93</v>
      </c>
      <c r="F3">
        <v>87</v>
      </c>
      <c r="G3">
        <v>97</v>
      </c>
      <c r="H3">
        <v>426</v>
      </c>
      <c r="I3">
        <v>85.2</v>
      </c>
      <c r="J3" t="s">
        <v>37</v>
      </c>
      <c r="K3">
        <v>10</v>
      </c>
      <c r="L3" t="s">
        <v>38</v>
      </c>
      <c r="M3" s="7">
        <v>45682</v>
      </c>
      <c r="O3" t="s">
        <v>24</v>
      </c>
    </row>
    <row r="4" spans="1:15" x14ac:dyDescent="0.35">
      <c r="A4">
        <v>100303</v>
      </c>
      <c r="B4" t="s">
        <v>40</v>
      </c>
      <c r="C4">
        <v>63</v>
      </c>
      <c r="D4">
        <v>74</v>
      </c>
      <c r="E4">
        <v>75</v>
      </c>
      <c r="F4">
        <v>92</v>
      </c>
      <c r="G4">
        <v>33</v>
      </c>
      <c r="H4">
        <v>337</v>
      </c>
      <c r="I4">
        <v>67.400000000000006</v>
      </c>
      <c r="J4" t="s">
        <v>54</v>
      </c>
      <c r="K4" t="s">
        <v>56</v>
      </c>
      <c r="L4" t="s">
        <v>55</v>
      </c>
      <c r="M4" s="7">
        <v>45762</v>
      </c>
      <c r="O4" t="str">
        <f>"John"</f>
        <v>John</v>
      </c>
    </row>
    <row r="5" spans="1:15" x14ac:dyDescent="0.35">
      <c r="A5">
        <v>100304</v>
      </c>
      <c r="B5" t="s">
        <v>41</v>
      </c>
      <c r="C5">
        <v>15</v>
      </c>
      <c r="D5">
        <v>12</v>
      </c>
      <c r="E5">
        <v>45</v>
      </c>
      <c r="F5">
        <v>97</v>
      </c>
      <c r="G5">
        <v>90</v>
      </c>
      <c r="H5">
        <v>259</v>
      </c>
      <c r="I5">
        <v>51.8</v>
      </c>
      <c r="J5" t="s">
        <v>54</v>
      </c>
      <c r="K5" t="s">
        <v>56</v>
      </c>
      <c r="L5" t="s">
        <v>55</v>
      </c>
      <c r="M5" s="7">
        <v>45669</v>
      </c>
      <c r="O5" t="str">
        <f>"Ram"</f>
        <v>Ram</v>
      </c>
    </row>
    <row r="6" spans="1:15" x14ac:dyDescent="0.35">
      <c r="A6">
        <v>100305</v>
      </c>
      <c r="B6" t="s">
        <v>42</v>
      </c>
      <c r="C6">
        <v>97</v>
      </c>
      <c r="D6">
        <v>45</v>
      </c>
      <c r="E6">
        <v>92</v>
      </c>
      <c r="F6">
        <v>91</v>
      </c>
      <c r="G6">
        <v>85</v>
      </c>
      <c r="H6">
        <v>410</v>
      </c>
      <c r="I6">
        <v>82</v>
      </c>
      <c r="J6" t="s">
        <v>37</v>
      </c>
      <c r="K6">
        <v>11</v>
      </c>
      <c r="L6" t="s">
        <v>43</v>
      </c>
      <c r="M6" s="7">
        <v>45731</v>
      </c>
      <c r="O6" t="str">
        <f>"Jason"</f>
        <v>Jason</v>
      </c>
    </row>
    <row r="7" spans="1:15" x14ac:dyDescent="0.35">
      <c r="A7">
        <v>100306</v>
      </c>
      <c r="B7" t="s">
        <v>44</v>
      </c>
      <c r="C7">
        <v>89</v>
      </c>
      <c r="D7">
        <v>89</v>
      </c>
      <c r="E7">
        <v>87</v>
      </c>
      <c r="F7">
        <v>92</v>
      </c>
      <c r="G7">
        <v>89</v>
      </c>
      <c r="H7">
        <v>446</v>
      </c>
      <c r="I7">
        <v>89.2</v>
      </c>
      <c r="J7" t="s">
        <v>37</v>
      </c>
      <c r="K7">
        <v>7</v>
      </c>
      <c r="L7" t="s">
        <v>38</v>
      </c>
      <c r="M7" s="7">
        <v>45881</v>
      </c>
      <c r="O7" t="str">
        <f>"Lokesh"</f>
        <v>Lokesh</v>
      </c>
    </row>
    <row r="8" spans="1:15" x14ac:dyDescent="0.35">
      <c r="A8">
        <v>100307</v>
      </c>
      <c r="B8" t="s">
        <v>45</v>
      </c>
      <c r="C8">
        <v>84</v>
      </c>
      <c r="D8">
        <v>93</v>
      </c>
      <c r="E8">
        <v>88</v>
      </c>
      <c r="F8">
        <v>65</v>
      </c>
      <c r="G8">
        <v>93</v>
      </c>
      <c r="H8">
        <v>443</v>
      </c>
      <c r="I8">
        <v>88.6</v>
      </c>
      <c r="J8" t="s">
        <v>37</v>
      </c>
      <c r="K8">
        <v>9</v>
      </c>
      <c r="L8" t="s">
        <v>38</v>
      </c>
      <c r="M8" s="7">
        <v>45757</v>
      </c>
      <c r="O8" t="s">
        <v>36</v>
      </c>
    </row>
    <row r="9" spans="1:15" x14ac:dyDescent="0.35">
      <c r="A9">
        <v>100308</v>
      </c>
      <c r="B9" t="s">
        <v>46</v>
      </c>
      <c r="C9">
        <v>63</v>
      </c>
      <c r="D9">
        <v>73</v>
      </c>
      <c r="E9">
        <v>75</v>
      </c>
      <c r="F9">
        <v>93</v>
      </c>
      <c r="G9">
        <v>65</v>
      </c>
      <c r="H9">
        <v>389</v>
      </c>
      <c r="I9">
        <v>77.8</v>
      </c>
      <c r="J9" t="s">
        <v>37</v>
      </c>
      <c r="K9">
        <v>12</v>
      </c>
      <c r="L9" t="s">
        <v>43</v>
      </c>
      <c r="M9" s="7">
        <v>45821</v>
      </c>
      <c r="O9" t="s">
        <v>48</v>
      </c>
    </row>
    <row r="10" spans="1:15" x14ac:dyDescent="0.35">
      <c r="A10">
        <v>100309</v>
      </c>
      <c r="B10" t="s">
        <v>47</v>
      </c>
      <c r="C10">
        <v>95</v>
      </c>
      <c r="D10">
        <v>97</v>
      </c>
      <c r="E10">
        <v>92</v>
      </c>
      <c r="F10">
        <v>91</v>
      </c>
      <c r="G10">
        <v>97</v>
      </c>
      <c r="H10">
        <v>472</v>
      </c>
      <c r="I10">
        <v>94.4</v>
      </c>
      <c r="J10" t="s">
        <v>37</v>
      </c>
      <c r="K10">
        <v>1</v>
      </c>
      <c r="L10" t="s">
        <v>38</v>
      </c>
      <c r="M10" s="7">
        <v>45759</v>
      </c>
      <c r="O10" t="s">
        <v>51</v>
      </c>
    </row>
    <row r="11" spans="1:15" x14ac:dyDescent="0.35">
      <c r="A11">
        <v>100310</v>
      </c>
      <c r="B11" t="s">
        <v>48</v>
      </c>
      <c r="C11">
        <v>97</v>
      </c>
      <c r="D11">
        <v>89</v>
      </c>
      <c r="E11">
        <v>85</v>
      </c>
      <c r="F11">
        <v>85</v>
      </c>
      <c r="G11">
        <v>93</v>
      </c>
      <c r="H11">
        <v>449</v>
      </c>
      <c r="I11">
        <v>89.8</v>
      </c>
      <c r="J11" t="s">
        <v>37</v>
      </c>
      <c r="K11">
        <v>6</v>
      </c>
      <c r="L11" t="s">
        <v>38</v>
      </c>
      <c r="M11" s="7">
        <v>45698</v>
      </c>
    </row>
    <row r="12" spans="1:15" x14ac:dyDescent="0.35">
      <c r="A12">
        <v>100311</v>
      </c>
      <c r="B12" t="s">
        <v>49</v>
      </c>
      <c r="C12">
        <v>89</v>
      </c>
      <c r="D12">
        <v>85</v>
      </c>
      <c r="E12">
        <v>95</v>
      </c>
      <c r="F12">
        <v>93</v>
      </c>
      <c r="G12">
        <v>89</v>
      </c>
      <c r="H12">
        <v>451</v>
      </c>
      <c r="I12">
        <v>90.2</v>
      </c>
      <c r="J12" t="s">
        <v>37</v>
      </c>
      <c r="K12">
        <v>4</v>
      </c>
      <c r="L12" t="s">
        <v>38</v>
      </c>
      <c r="M12" s="7">
        <v>45788</v>
      </c>
    </row>
    <row r="13" spans="1:15" x14ac:dyDescent="0.35">
      <c r="A13">
        <v>100312</v>
      </c>
      <c r="B13" t="s">
        <v>50</v>
      </c>
      <c r="C13">
        <v>95</v>
      </c>
      <c r="D13">
        <v>95</v>
      </c>
      <c r="E13">
        <v>91</v>
      </c>
      <c r="F13">
        <v>88</v>
      </c>
      <c r="G13">
        <v>92</v>
      </c>
      <c r="H13">
        <v>461</v>
      </c>
      <c r="I13">
        <v>92.2</v>
      </c>
      <c r="J13" t="s">
        <v>37</v>
      </c>
      <c r="K13">
        <v>3</v>
      </c>
      <c r="L13" t="s">
        <v>38</v>
      </c>
      <c r="M13" s="7">
        <v>45881</v>
      </c>
    </row>
    <row r="14" spans="1:15" x14ac:dyDescent="0.35">
      <c r="A14">
        <v>100313</v>
      </c>
      <c r="B14" t="s">
        <v>51</v>
      </c>
      <c r="C14">
        <v>91</v>
      </c>
      <c r="D14">
        <v>87</v>
      </c>
      <c r="E14">
        <v>84</v>
      </c>
      <c r="F14">
        <v>90</v>
      </c>
      <c r="G14">
        <v>93</v>
      </c>
      <c r="H14">
        <v>445</v>
      </c>
      <c r="I14">
        <v>89</v>
      </c>
      <c r="J14" t="s">
        <v>37</v>
      </c>
      <c r="K14">
        <v>8</v>
      </c>
      <c r="L14" t="s">
        <v>38</v>
      </c>
      <c r="M14" s="7">
        <v>45792</v>
      </c>
    </row>
    <row r="15" spans="1:15" x14ac:dyDescent="0.35">
      <c r="A15">
        <v>100314</v>
      </c>
      <c r="B15" t="s">
        <v>52</v>
      </c>
      <c r="C15">
        <v>15</v>
      </c>
      <c r="D15">
        <v>92</v>
      </c>
      <c r="E15">
        <v>97</v>
      </c>
      <c r="F15">
        <v>25</v>
      </c>
      <c r="G15">
        <v>29</v>
      </c>
      <c r="H15">
        <v>258</v>
      </c>
      <c r="I15">
        <v>51.6</v>
      </c>
      <c r="J15" t="s">
        <v>54</v>
      </c>
      <c r="K15" t="s">
        <v>56</v>
      </c>
      <c r="L15" t="s">
        <v>55</v>
      </c>
      <c r="M15" s="7">
        <v>45760</v>
      </c>
      <c r="O15" t="s">
        <v>30</v>
      </c>
    </row>
    <row r="16" spans="1:15" x14ac:dyDescent="0.35">
      <c r="A16">
        <v>100315</v>
      </c>
      <c r="B16" t="s">
        <v>53</v>
      </c>
      <c r="C16">
        <v>95</v>
      </c>
      <c r="D16">
        <v>95</v>
      </c>
      <c r="E16">
        <v>95</v>
      </c>
      <c r="F16">
        <v>91</v>
      </c>
      <c r="G16">
        <v>91</v>
      </c>
      <c r="H16">
        <v>467</v>
      </c>
      <c r="I16">
        <v>93.4</v>
      </c>
      <c r="J16" t="s">
        <v>37</v>
      </c>
      <c r="K16">
        <v>2</v>
      </c>
      <c r="L16" t="s">
        <v>38</v>
      </c>
      <c r="M16" s="7">
        <v>45728</v>
      </c>
      <c r="O16">
        <v>337</v>
      </c>
    </row>
    <row r="17" spans="15:15" x14ac:dyDescent="0.35">
      <c r="O17">
        <v>259</v>
      </c>
    </row>
    <row r="18" spans="15:15" x14ac:dyDescent="0.35">
      <c r="O18">
        <v>389</v>
      </c>
    </row>
    <row r="19" spans="15:15" x14ac:dyDescent="0.35">
      <c r="O19">
        <v>258</v>
      </c>
    </row>
  </sheetData>
  <autoFilter ref="A1:M16" xr:uid="{20ED4415-9A82-42C6-9BEC-C786C92BFB7B}"/>
  <conditionalFormatting sqref="C2:G16">
    <cfRule type="iconSet" priority="1">
      <iconSet iconSet="3Arrows">
        <cfvo type="percent" val="0"/>
        <cfvo type="percent" val="33"/>
        <cfvo type="percent" val="67"/>
      </iconSet>
    </cfRule>
    <cfRule type="cellIs" dxfId="4" priority="6" operator="between">
      <formula>36</formula>
      <formula>74</formula>
    </cfRule>
    <cfRule type="cellIs" dxfId="3" priority="7" operator="lessThan">
      <formula>35</formula>
    </cfRule>
    <cfRule type="cellIs" dxfId="2" priority="8" operator="greaterThan">
      <formula>70</formula>
    </cfRule>
  </conditionalFormatting>
  <conditionalFormatting sqref="H2:H1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{B83625BD-ACA8-4E2F-A516-FC0E7E29EAA9}</x14:id>
        </ext>
      </extLst>
    </cfRule>
  </conditionalFormatting>
  <conditionalFormatting sqref="I2:I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ntainsText" dxfId="1" priority="2" operator="containsText" text="Fail">
      <formula>NOT(ISERROR(SEARCH("Fail",J2)))</formula>
    </cfRule>
    <cfRule type="containsText" dxfId="0" priority="3" operator="containsText" text="Pass">
      <formula>NOT(ISERROR(SEARCH("Pass",J2)))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3625BD-ACA8-4E2F-A516-FC0E7E29EA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241C-480F-4687-900F-5ED2DA4E006E}">
  <dimension ref="A1:N28"/>
  <sheetViews>
    <sheetView tabSelected="1" topLeftCell="A8" zoomScale="110" zoomScaleNormal="110" workbookViewId="0">
      <selection activeCell="I11" sqref="I11:J25"/>
    </sheetView>
  </sheetViews>
  <sheetFormatPr defaultColWidth="15.7265625" defaultRowHeight="14.5" x14ac:dyDescent="0.35"/>
  <cols>
    <col min="1" max="1" width="14.08984375" bestFit="1" customWidth="1"/>
    <col min="2" max="2" width="11.26953125" bestFit="1" customWidth="1"/>
    <col min="3" max="4" width="10.26953125" bestFit="1" customWidth="1"/>
    <col min="5" max="5" width="11" customWidth="1"/>
  </cols>
  <sheetData>
    <row r="1" spans="1:14" x14ac:dyDescent="0.35">
      <c r="A1" s="12" t="s">
        <v>24</v>
      </c>
      <c r="B1" s="12" t="s">
        <v>68</v>
      </c>
      <c r="C1" s="12" t="s">
        <v>69</v>
      </c>
      <c r="D1" s="12" t="s">
        <v>70</v>
      </c>
      <c r="E1" s="12" t="s">
        <v>71</v>
      </c>
    </row>
    <row r="2" spans="1:14" x14ac:dyDescent="0.35">
      <c r="A2" s="13" t="s">
        <v>72</v>
      </c>
      <c r="B2" s="13" t="s">
        <v>73</v>
      </c>
      <c r="C2" s="14">
        <v>18000</v>
      </c>
      <c r="D2" s="14">
        <v>7000</v>
      </c>
      <c r="E2" s="14">
        <v>11000</v>
      </c>
      <c r="H2" s="11"/>
    </row>
    <row r="3" spans="1:14" x14ac:dyDescent="0.35">
      <c r="A3" s="13" t="s">
        <v>74</v>
      </c>
      <c r="B3" s="13" t="s">
        <v>75</v>
      </c>
      <c r="C3" s="14">
        <v>15000</v>
      </c>
      <c r="D3" s="14">
        <v>10000</v>
      </c>
      <c r="E3" s="14">
        <v>5000</v>
      </c>
      <c r="H3" s="11"/>
    </row>
    <row r="4" spans="1:14" x14ac:dyDescent="0.35">
      <c r="A4" s="13" t="s">
        <v>76</v>
      </c>
      <c r="B4" s="13" t="s">
        <v>77</v>
      </c>
      <c r="C4" s="14">
        <v>12000</v>
      </c>
      <c r="D4" s="14">
        <v>7000</v>
      </c>
      <c r="E4" s="14">
        <v>5000</v>
      </c>
      <c r="G4" s="21"/>
      <c r="H4" s="21"/>
      <c r="I4" s="21"/>
      <c r="J4" s="21"/>
      <c r="K4" s="21"/>
      <c r="L4" s="21"/>
      <c r="M4" s="21"/>
    </row>
    <row r="5" spans="1:14" x14ac:dyDescent="0.35">
      <c r="A5" s="13" t="s">
        <v>78</v>
      </c>
      <c r="B5" s="13" t="s">
        <v>79</v>
      </c>
      <c r="C5" s="14">
        <v>14000</v>
      </c>
      <c r="D5" s="14">
        <v>9000</v>
      </c>
      <c r="E5" s="14">
        <v>5000</v>
      </c>
      <c r="J5" s="21"/>
      <c r="K5" s="21"/>
    </row>
    <row r="6" spans="1:14" x14ac:dyDescent="0.35">
      <c r="A6" s="13" t="s">
        <v>80</v>
      </c>
      <c r="B6" s="13" t="s">
        <v>81</v>
      </c>
      <c r="C6" s="14">
        <v>11000</v>
      </c>
      <c r="D6" s="14">
        <v>10000</v>
      </c>
      <c r="E6" s="14">
        <v>1000</v>
      </c>
      <c r="G6" s="21"/>
      <c r="H6" s="21"/>
      <c r="I6" s="21"/>
      <c r="L6" s="21"/>
      <c r="M6" s="21"/>
    </row>
    <row r="7" spans="1:14" x14ac:dyDescent="0.35">
      <c r="A7" s="13" t="s">
        <v>82</v>
      </c>
      <c r="B7" s="13" t="s">
        <v>83</v>
      </c>
      <c r="C7" s="14">
        <v>17000</v>
      </c>
      <c r="D7" s="14">
        <v>12000</v>
      </c>
      <c r="E7" s="14">
        <v>5000</v>
      </c>
      <c r="J7" s="21"/>
      <c r="K7" s="21"/>
      <c r="M7" s="21"/>
      <c r="N7" s="21"/>
    </row>
    <row r="8" spans="1:14" x14ac:dyDescent="0.35">
      <c r="A8" s="13" t="s">
        <v>84</v>
      </c>
      <c r="B8" s="13" t="s">
        <v>85</v>
      </c>
      <c r="C8" s="14">
        <v>15000</v>
      </c>
      <c r="D8" s="14">
        <v>10000</v>
      </c>
      <c r="E8" s="14">
        <v>5000</v>
      </c>
      <c r="L8" s="21"/>
      <c r="M8" s="21"/>
    </row>
    <row r="9" spans="1:14" x14ac:dyDescent="0.35">
      <c r="A9" s="13" t="s">
        <v>86</v>
      </c>
      <c r="B9" s="13" t="s">
        <v>73</v>
      </c>
      <c r="C9" s="14">
        <v>12000</v>
      </c>
      <c r="D9" s="14">
        <v>7000</v>
      </c>
      <c r="E9" s="14">
        <v>5000</v>
      </c>
      <c r="G9" s="11">
        <v>7000</v>
      </c>
    </row>
    <row r="10" spans="1:14" ht="15" thickBot="1" x14ac:dyDescent="0.4">
      <c r="A10" s="13" t="s">
        <v>87</v>
      </c>
      <c r="B10" s="13" t="s">
        <v>75</v>
      </c>
      <c r="C10" s="14">
        <v>14000</v>
      </c>
      <c r="D10" s="14">
        <v>13000</v>
      </c>
      <c r="E10" s="14">
        <v>1000</v>
      </c>
      <c r="G10" s="11">
        <v>10000</v>
      </c>
      <c r="J10" s="21"/>
    </row>
    <row r="11" spans="1:14" x14ac:dyDescent="0.35">
      <c r="A11" s="13" t="s">
        <v>88</v>
      </c>
      <c r="B11" s="13" t="s">
        <v>79</v>
      </c>
      <c r="C11" s="14">
        <v>11000</v>
      </c>
      <c r="D11" s="14">
        <v>6000</v>
      </c>
      <c r="E11" s="14">
        <v>5000</v>
      </c>
      <c r="G11" s="11">
        <v>7000</v>
      </c>
      <c r="I11" s="24" t="s">
        <v>104</v>
      </c>
      <c r="J11" s="24"/>
      <c r="K11" s="21"/>
      <c r="L11" s="21"/>
    </row>
    <row r="12" spans="1:14" x14ac:dyDescent="0.35">
      <c r="A12" s="13" t="s">
        <v>89</v>
      </c>
      <c r="B12" s="13" t="s">
        <v>81</v>
      </c>
      <c r="C12" s="14">
        <v>10000</v>
      </c>
      <c r="D12" s="14">
        <v>9000</v>
      </c>
      <c r="E12" s="14">
        <v>1000</v>
      </c>
      <c r="G12" s="11">
        <v>9000</v>
      </c>
      <c r="I12" s="22"/>
      <c r="J12" s="22"/>
    </row>
    <row r="13" spans="1:14" x14ac:dyDescent="0.35">
      <c r="A13" s="13" t="s">
        <v>90</v>
      </c>
      <c r="B13" s="13" t="s">
        <v>83</v>
      </c>
      <c r="C13" s="14">
        <v>19000</v>
      </c>
      <c r="D13" s="14">
        <v>14000</v>
      </c>
      <c r="E13" s="14">
        <v>5000</v>
      </c>
      <c r="G13" s="11">
        <v>10000</v>
      </c>
      <c r="I13" s="22" t="s">
        <v>105</v>
      </c>
      <c r="J13" s="22">
        <v>10588.235294117647</v>
      </c>
    </row>
    <row r="14" spans="1:14" x14ac:dyDescent="0.35">
      <c r="A14" s="13" t="s">
        <v>91</v>
      </c>
      <c r="B14" s="13" t="s">
        <v>85</v>
      </c>
      <c r="C14" s="14">
        <v>12000</v>
      </c>
      <c r="D14" s="14">
        <v>7000</v>
      </c>
      <c r="E14" s="14">
        <v>5000</v>
      </c>
      <c r="G14" s="11">
        <v>12000</v>
      </c>
      <c r="I14" s="22" t="s">
        <v>106</v>
      </c>
      <c r="J14" s="22">
        <v>702.19625801843074</v>
      </c>
    </row>
    <row r="15" spans="1:14" x14ac:dyDescent="0.35">
      <c r="A15" s="13" t="s">
        <v>92</v>
      </c>
      <c r="B15" s="13" t="s">
        <v>73</v>
      </c>
      <c r="C15" s="14">
        <v>15000</v>
      </c>
      <c r="D15" s="14">
        <v>14000</v>
      </c>
      <c r="E15" s="14">
        <v>1000</v>
      </c>
      <c r="G15" s="11">
        <v>10000</v>
      </c>
      <c r="I15" s="22" t="s">
        <v>107</v>
      </c>
      <c r="J15" s="22">
        <v>10000</v>
      </c>
    </row>
    <row r="16" spans="1:14" x14ac:dyDescent="0.35">
      <c r="A16" s="13" t="s">
        <v>93</v>
      </c>
      <c r="B16" s="13" t="s">
        <v>75</v>
      </c>
      <c r="C16" s="14">
        <v>16000</v>
      </c>
      <c r="D16" s="14">
        <v>11000</v>
      </c>
      <c r="E16" s="14">
        <v>5000</v>
      </c>
      <c r="G16" s="11">
        <v>7000</v>
      </c>
      <c r="I16" s="22" t="s">
        <v>108</v>
      </c>
      <c r="J16" s="22">
        <v>9000</v>
      </c>
    </row>
    <row r="17" spans="1:14" x14ac:dyDescent="0.35">
      <c r="A17" s="13" t="s">
        <v>94</v>
      </c>
      <c r="B17" s="13" t="s">
        <v>79</v>
      </c>
      <c r="C17" s="14">
        <v>17000</v>
      </c>
      <c r="D17" s="14">
        <v>16000</v>
      </c>
      <c r="E17" s="14">
        <v>1000</v>
      </c>
      <c r="G17" s="11">
        <v>13000</v>
      </c>
      <c r="I17" s="22" t="s">
        <v>109</v>
      </c>
      <c r="J17" s="22">
        <v>2895.2293417234623</v>
      </c>
    </row>
    <row r="18" spans="1:14" x14ac:dyDescent="0.35">
      <c r="A18" s="13" t="s">
        <v>95</v>
      </c>
      <c r="B18" s="13" t="s">
        <v>81</v>
      </c>
      <c r="C18" s="14">
        <v>13000</v>
      </c>
      <c r="D18" s="14">
        <v>8000</v>
      </c>
      <c r="E18" s="14">
        <v>5000</v>
      </c>
      <c r="G18" s="11">
        <v>6000</v>
      </c>
      <c r="I18" s="22" t="s">
        <v>110</v>
      </c>
      <c r="J18" s="22">
        <v>8382352.9411764741</v>
      </c>
    </row>
    <row r="19" spans="1:14" x14ac:dyDescent="0.35">
      <c r="A19" s="13" t="s">
        <v>96</v>
      </c>
      <c r="B19" s="13" t="s">
        <v>83</v>
      </c>
      <c r="C19" s="14">
        <v>15000</v>
      </c>
      <c r="D19" s="14">
        <v>14000</v>
      </c>
      <c r="E19" s="14">
        <v>1000</v>
      </c>
      <c r="G19" s="11">
        <v>9000</v>
      </c>
      <c r="I19" s="22" t="s">
        <v>111</v>
      </c>
      <c r="J19" s="22">
        <v>-0.88208943411159435</v>
      </c>
    </row>
    <row r="20" spans="1:14" ht="15" thickBot="1" x14ac:dyDescent="0.4">
      <c r="A20" s="13" t="s">
        <v>97</v>
      </c>
      <c r="B20" s="13" t="s">
        <v>85</v>
      </c>
      <c r="C20" s="14">
        <v>14000</v>
      </c>
      <c r="D20" s="14">
        <v>9000</v>
      </c>
      <c r="E20" s="14">
        <v>5000</v>
      </c>
      <c r="G20" s="11">
        <v>14000</v>
      </c>
      <c r="H20" s="20"/>
      <c r="I20" s="22" t="s">
        <v>112</v>
      </c>
      <c r="J20" s="22">
        <v>0.22141687442188782</v>
      </c>
    </row>
    <row r="21" spans="1:14" ht="15" thickBot="1" x14ac:dyDescent="0.4">
      <c r="A21" s="13" t="s">
        <v>98</v>
      </c>
      <c r="B21" s="13" t="s">
        <v>73</v>
      </c>
      <c r="C21" s="14">
        <v>12000</v>
      </c>
      <c r="D21" s="14">
        <v>11000</v>
      </c>
      <c r="E21" s="14">
        <v>1000</v>
      </c>
      <c r="G21" s="11">
        <v>7000</v>
      </c>
      <c r="H21" s="20"/>
      <c r="I21" s="22" t="s">
        <v>113</v>
      </c>
      <c r="J21" s="22">
        <v>10000</v>
      </c>
      <c r="N21" s="20"/>
    </row>
    <row r="22" spans="1:14" ht="15" thickBot="1" x14ac:dyDescent="0.4">
      <c r="G22" s="11">
        <v>14000</v>
      </c>
      <c r="I22" s="22" t="s">
        <v>114</v>
      </c>
      <c r="J22" s="22">
        <v>6000</v>
      </c>
      <c r="M22" s="20"/>
    </row>
    <row r="23" spans="1:14" x14ac:dyDescent="0.35">
      <c r="G23" s="11">
        <v>11000</v>
      </c>
      <c r="I23" s="22" t="s">
        <v>115</v>
      </c>
      <c r="J23" s="22">
        <v>16000</v>
      </c>
    </row>
    <row r="24" spans="1:14" x14ac:dyDescent="0.35">
      <c r="G24" s="11">
        <v>16000</v>
      </c>
      <c r="I24" s="22" t="s">
        <v>116</v>
      </c>
      <c r="J24" s="22">
        <v>180000</v>
      </c>
    </row>
    <row r="25" spans="1:14" ht="15" thickBot="1" x14ac:dyDescent="0.4">
      <c r="G25" s="11">
        <v>8000</v>
      </c>
      <c r="I25" s="23" t="s">
        <v>117</v>
      </c>
      <c r="J25" s="23">
        <v>17</v>
      </c>
      <c r="K25" s="20"/>
      <c r="L25" s="20"/>
    </row>
    <row r="26" spans="1:14" x14ac:dyDescent="0.35">
      <c r="G26" s="11">
        <v>14000</v>
      </c>
    </row>
    <row r="27" spans="1:14" x14ac:dyDescent="0.35">
      <c r="G27" s="11">
        <v>9000</v>
      </c>
    </row>
    <row r="28" spans="1:14" x14ac:dyDescent="0.35">
      <c r="G28" s="11">
        <v>11000</v>
      </c>
    </row>
  </sheetData>
  <dataConsolidate>
    <dataRefs count="1">
      <dataRef ref="D2:D21" sheet="Summary_Statistics"/>
    </dataRefs>
  </dataConsolidate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7C40-248C-4AEF-B202-5647EED77A86}">
  <dimension ref="C3:P13"/>
  <sheetViews>
    <sheetView topLeftCell="C2" zoomScale="150" zoomScaleNormal="150" workbookViewId="0">
      <selection activeCell="D5" sqref="D5"/>
    </sheetView>
  </sheetViews>
  <sheetFormatPr defaultRowHeight="14.5" x14ac:dyDescent="0.35"/>
  <cols>
    <col min="3" max="3" width="11.7265625" bestFit="1" customWidth="1"/>
    <col min="4" max="4" width="13.7265625" customWidth="1"/>
  </cols>
  <sheetData>
    <row r="3" spans="3:16" x14ac:dyDescent="0.35">
      <c r="C3" s="15" t="s">
        <v>57</v>
      </c>
      <c r="D3" s="17" t="s">
        <v>5</v>
      </c>
      <c r="E3" s="15" t="s">
        <v>58</v>
      </c>
      <c r="H3">
        <v>150000</v>
      </c>
    </row>
    <row r="4" spans="3:16" x14ac:dyDescent="0.35">
      <c r="C4" t="s">
        <v>59</v>
      </c>
      <c r="D4" s="18">
        <v>130230</v>
      </c>
      <c r="E4">
        <v>4500</v>
      </c>
      <c r="F4">
        <f>_xlfn.RANK.AVG(D4,$D$4:$D$13,0)</f>
        <v>7</v>
      </c>
      <c r="J4" t="s">
        <v>99</v>
      </c>
      <c r="N4">
        <v>67</v>
      </c>
      <c r="O4">
        <f>_xlfn.RANK.AVG(N4,$N$4:$N$10,0)</f>
        <v>6</v>
      </c>
      <c r="P4">
        <f>RANK(N4,$N$4:$N$10,0)</f>
        <v>6</v>
      </c>
    </row>
    <row r="5" spans="3:16" x14ac:dyDescent="0.35">
      <c r="C5" t="s">
        <v>52</v>
      </c>
      <c r="D5" s="18">
        <v>98084</v>
      </c>
      <c r="E5">
        <v>4110</v>
      </c>
      <c r="F5">
        <f t="shared" ref="F5:F13" si="0">_xlfn.RANK.AVG(D5,$D$4:$D$13,0)</f>
        <v>9</v>
      </c>
      <c r="H5" s="16"/>
      <c r="J5" t="s">
        <v>100</v>
      </c>
      <c r="N5">
        <v>89</v>
      </c>
      <c r="O5">
        <f>_xlfn.RANK.AVG(N5,$N$4:$N$10,0)</f>
        <v>2.5</v>
      </c>
      <c r="P5">
        <f t="shared" ref="P5:P10" si="1">RANK(N5,$N$4:$N$10,0)</f>
        <v>2</v>
      </c>
    </row>
    <row r="6" spans="3:16" x14ac:dyDescent="0.35">
      <c r="C6" t="s">
        <v>60</v>
      </c>
      <c r="D6" s="18">
        <v>128210</v>
      </c>
      <c r="E6">
        <v>3867</v>
      </c>
      <c r="F6">
        <f t="shared" si="0"/>
        <v>8</v>
      </c>
      <c r="N6">
        <v>78</v>
      </c>
      <c r="O6">
        <f t="shared" ref="O6:O10" si="2">_xlfn.RANK.AVG(N6,$N$4:$N$10,0)</f>
        <v>4.5</v>
      </c>
      <c r="P6">
        <f t="shared" si="1"/>
        <v>4</v>
      </c>
    </row>
    <row r="7" spans="3:16" x14ac:dyDescent="0.35">
      <c r="C7" t="s">
        <v>61</v>
      </c>
      <c r="D7" s="18">
        <v>259975</v>
      </c>
      <c r="E7">
        <v>5295</v>
      </c>
      <c r="F7">
        <f t="shared" si="0"/>
        <v>3</v>
      </c>
      <c r="J7" t="s">
        <v>101</v>
      </c>
      <c r="N7">
        <v>56</v>
      </c>
      <c r="O7">
        <f t="shared" si="2"/>
        <v>7</v>
      </c>
      <c r="P7">
        <f t="shared" si="1"/>
        <v>7</v>
      </c>
    </row>
    <row r="8" spans="3:16" x14ac:dyDescent="0.35">
      <c r="C8" t="s">
        <v>62</v>
      </c>
      <c r="D8" s="18">
        <v>130697</v>
      </c>
      <c r="E8">
        <v>5925</v>
      </c>
      <c r="F8">
        <f t="shared" si="0"/>
        <v>6</v>
      </c>
      <c r="J8" t="s">
        <v>102</v>
      </c>
      <c r="N8">
        <v>78</v>
      </c>
      <c r="O8">
        <f t="shared" si="2"/>
        <v>4.5</v>
      </c>
      <c r="P8">
        <f t="shared" si="1"/>
        <v>4</v>
      </c>
    </row>
    <row r="9" spans="3:16" x14ac:dyDescent="0.35">
      <c r="C9" t="s">
        <v>63</v>
      </c>
      <c r="D9" s="18">
        <v>495725</v>
      </c>
      <c r="E9">
        <v>3669</v>
      </c>
      <c r="F9">
        <f t="shared" si="0"/>
        <v>1</v>
      </c>
      <c r="N9">
        <v>99</v>
      </c>
      <c r="O9">
        <f t="shared" si="2"/>
        <v>1</v>
      </c>
      <c r="P9">
        <f t="shared" si="1"/>
        <v>1</v>
      </c>
    </row>
    <row r="10" spans="3:16" x14ac:dyDescent="0.35">
      <c r="C10" t="s">
        <v>64</v>
      </c>
      <c r="D10" s="18">
        <v>306834</v>
      </c>
      <c r="E10">
        <v>5007</v>
      </c>
      <c r="F10">
        <f t="shared" si="0"/>
        <v>2</v>
      </c>
      <c r="N10">
        <v>89</v>
      </c>
      <c r="O10">
        <f t="shared" si="2"/>
        <v>2.5</v>
      </c>
      <c r="P10">
        <f t="shared" si="1"/>
        <v>2</v>
      </c>
    </row>
    <row r="11" spans="3:16" x14ac:dyDescent="0.35">
      <c r="C11" t="s">
        <v>65</v>
      </c>
      <c r="D11" s="18">
        <v>132580</v>
      </c>
      <c r="E11">
        <v>4556</v>
      </c>
      <c r="F11">
        <f t="shared" si="0"/>
        <v>5</v>
      </c>
    </row>
    <row r="12" spans="3:16" x14ac:dyDescent="0.35">
      <c r="C12" t="s">
        <v>66</v>
      </c>
      <c r="D12" s="18">
        <v>151599</v>
      </c>
      <c r="E12">
        <v>3843</v>
      </c>
      <c r="F12">
        <f t="shared" si="0"/>
        <v>4</v>
      </c>
    </row>
    <row r="13" spans="3:16" x14ac:dyDescent="0.35">
      <c r="C13" t="s">
        <v>67</v>
      </c>
      <c r="D13" s="18">
        <v>83216</v>
      </c>
      <c r="E13">
        <v>4681</v>
      </c>
      <c r="F13">
        <f t="shared" si="0"/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Basic_sorting</vt:lpstr>
      <vt:lpstr>Advance_sorting</vt:lpstr>
      <vt:lpstr>Filtering</vt:lpstr>
      <vt:lpstr>Summary_Statistics</vt:lpstr>
      <vt:lpstr>Conditional_Formatting</vt:lpstr>
      <vt:lpstr>Filtering!Criteria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Sheethal.PV</cp:lastModifiedBy>
  <dcterms:created xsi:type="dcterms:W3CDTF">2025-03-04T14:25:47Z</dcterms:created>
  <dcterms:modified xsi:type="dcterms:W3CDTF">2026-07-18T15:47:01Z</dcterms:modified>
</cp:coreProperties>
</file>